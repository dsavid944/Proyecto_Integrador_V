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Dev\proyecto_integrado_ea1\docs\"/>
    </mc:Choice>
  </mc:AlternateContent>
  <xr:revisionPtr revIDLastSave="0" documentId="13_ncr:1_{69622ECA-2A6D-44E5-9546-D52AA19A9ED0}" xr6:coauthVersionLast="47" xr6:coauthVersionMax="47" xr10:uidLastSave="{00000000-0000-0000-0000-000000000000}"/>
  <bookViews>
    <workbookView xWindow="-120" yWindow="-120" windowWidth="20730" windowHeight="11040" xr2:uid="{00000000-000D-0000-FFFF-FFFF00000000}"/>
  </bookViews>
  <sheets>
    <sheet name="Gantt" sheetId="11" r:id="rId1"/>
  </sheets>
  <definedNames>
    <definedName name="Display_Week">Gantt!$T$2</definedName>
    <definedName name="Project_Start">Gantt!$T$1</definedName>
    <definedName name="task_end" localSheetId="0">Gantt!$G1</definedName>
    <definedName name="task_progress" localSheetId="0">Gantt!$E1</definedName>
    <definedName name="task_start" localSheetId="0">Gantt!$F1</definedName>
    <definedName name="_xlnm.Print_Titles" localSheetId="0">Gantt!$4:$6</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7" i="11" l="1"/>
  <c r="F9" i="11" l="1"/>
  <c r="F18" i="11" s="1"/>
  <c r="G18" i="11" l="1"/>
  <c r="F19" i="11" s="1"/>
  <c r="F20" i="11" s="1"/>
  <c r="F23" i="11"/>
  <c r="G9" i="11"/>
  <c r="F10" i="11" s="1"/>
  <c r="L5" i="11"/>
  <c r="K26" i="11"/>
  <c r="K22" i="11"/>
  <c r="K17" i="11"/>
  <c r="K12" i="11"/>
  <c r="K8" i="11"/>
  <c r="K18" i="11" l="1"/>
  <c r="G19" i="11"/>
  <c r="K19" i="11" s="1"/>
  <c r="G23" i="11"/>
  <c r="F24" i="11" s="1"/>
  <c r="K9" i="11"/>
  <c r="G20" i="11"/>
  <c r="G10" i="11"/>
  <c r="F11" i="11" s="1"/>
  <c r="F13" i="11" s="1"/>
  <c r="F14" i="11" s="1"/>
  <c r="L6" i="11"/>
  <c r="G24" i="11" l="1"/>
  <c r="F25" i="11" s="1"/>
  <c r="K23" i="11"/>
  <c r="K10" i="11"/>
  <c r="F21" i="11"/>
  <c r="K20" i="11"/>
  <c r="G14" i="11"/>
  <c r="G13" i="11"/>
  <c r="K13" i="11" s="1"/>
  <c r="G11" i="11"/>
  <c r="M5" i="11"/>
  <c r="N5" i="11" s="1"/>
  <c r="O5" i="11" s="1"/>
  <c r="P5" i="11" s="1"/>
  <c r="Q5" i="11" s="1"/>
  <c r="R5" i="11" s="1"/>
  <c r="L4" i="11"/>
  <c r="K24" i="11" l="1"/>
  <c r="S5" i="11"/>
  <c r="T5" i="11" s="1"/>
  <c r="U5" i="11" s="1"/>
  <c r="V5" i="11" s="1"/>
  <c r="W5" i="11" s="1"/>
  <c r="X5" i="11" s="1"/>
  <c r="Y5" i="11" s="1"/>
  <c r="Z5" i="11" s="1"/>
  <c r="R6" i="11"/>
  <c r="G25" i="11"/>
  <c r="K25" i="11" s="1"/>
  <c r="G21" i="11"/>
  <c r="K21" i="11" s="1"/>
  <c r="K14" i="11"/>
  <c r="F15" i="11"/>
  <c r="F16" i="11" s="1"/>
  <c r="K11" i="11"/>
  <c r="M6" i="11"/>
  <c r="S4" i="11" l="1"/>
  <c r="G16" i="11"/>
  <c r="K16" i="11" s="1"/>
  <c r="G15" i="11"/>
  <c r="K15" i="11" s="1"/>
  <c r="Z4" i="11"/>
  <c r="AA5" i="11"/>
  <c r="AB5" i="11" s="1"/>
  <c r="AC5" i="11" s="1"/>
  <c r="AD5" i="11" s="1"/>
  <c r="AE5" i="11" s="1"/>
  <c r="AF5" i="11" s="1"/>
  <c r="AG5" i="11" s="1"/>
  <c r="N6" i="11"/>
  <c r="AH5" i="11" l="1"/>
  <c r="AI5" i="11" s="1"/>
  <c r="AJ5" i="11" s="1"/>
  <c r="AK5" i="11" s="1"/>
  <c r="AL5" i="11" s="1"/>
  <c r="AM5" i="11" s="1"/>
  <c r="AG4" i="11"/>
  <c r="O6" i="11"/>
  <c r="AN5" i="11" l="1"/>
  <c r="AO5" i="11" s="1"/>
  <c r="AP5" i="11" s="1"/>
  <c r="AQ5" i="11" s="1"/>
  <c r="AR5" i="11" s="1"/>
  <c r="AS5" i="11" s="1"/>
  <c r="AT5" i="11" s="1"/>
  <c r="P6" i="11"/>
  <c r="AU5" i="11" l="1"/>
  <c r="AV5" i="11" s="1"/>
  <c r="AN4" i="11"/>
  <c r="Q6" i="11"/>
  <c r="AW5" i="11" l="1"/>
  <c r="AV6" i="11"/>
  <c r="AU4" i="11"/>
  <c r="AX5" i="11" l="1"/>
  <c r="AW6" i="11"/>
  <c r="AY5" i="11" l="1"/>
  <c r="AX6" i="11"/>
  <c r="S6" i="11"/>
  <c r="T6" i="11"/>
  <c r="AZ5" i="11" l="1"/>
  <c r="AY6" i="11"/>
  <c r="U6" i="11"/>
  <c r="BA5" i="11" l="1"/>
  <c r="BB5" i="11" s="1"/>
  <c r="AZ6" i="11"/>
  <c r="V6" i="11"/>
  <c r="BB6" i="11" l="1"/>
  <c r="BC5" i="11"/>
  <c r="BB4" i="11"/>
  <c r="BA6" i="11"/>
  <c r="W6" i="11"/>
  <c r="BD5" i="11" l="1"/>
  <c r="BC6" i="11"/>
  <c r="X6" i="11"/>
  <c r="BD6" i="11" l="1"/>
  <c r="BE5" i="11"/>
  <c r="Y6" i="11"/>
  <c r="BE6" i="11" l="1"/>
  <c r="BF5" i="11"/>
  <c r="Z6" i="11"/>
  <c r="BF6" i="11" l="1"/>
  <c r="BG5" i="11"/>
  <c r="AA6" i="11"/>
  <c r="BH5" i="11" l="1"/>
  <c r="BG6" i="11"/>
  <c r="AB6" i="11"/>
  <c r="BH6" i="11" l="1"/>
  <c r="BI5" i="11"/>
  <c r="AC6" i="11"/>
  <c r="BI6" i="11" l="1"/>
  <c r="BJ5" i="11"/>
  <c r="BI4" i="11"/>
  <c r="AD6" i="11"/>
  <c r="BJ6" i="11" l="1"/>
  <c r="BK5" i="11"/>
  <c r="AE6" i="11"/>
  <c r="BL5" i="11" l="1"/>
  <c r="BK6" i="11"/>
  <c r="AF6" i="11"/>
  <c r="BM5" i="11" l="1"/>
  <c r="BL6" i="11"/>
  <c r="AG6" i="11"/>
  <c r="BN5" i="11" l="1"/>
  <c r="BM6" i="11"/>
  <c r="AH6" i="11"/>
  <c r="BO5" i="11" l="1"/>
  <c r="BN6" i="11"/>
  <c r="AI6" i="11"/>
  <c r="BO6" i="11" l="1"/>
  <c r="AJ6" i="11"/>
  <c r="AK6" i="11" l="1"/>
  <c r="AL6" i="11" l="1"/>
  <c r="AM6" i="11" l="1"/>
  <c r="AN6" i="11" l="1"/>
  <c r="AO6" i="11" l="1"/>
  <c r="AP6" i="11" l="1"/>
  <c r="AQ6" i="11" l="1"/>
  <c r="AR6" i="11" l="1"/>
  <c r="AS6" i="11" l="1"/>
  <c r="AT6" i="11" l="1"/>
  <c r="AU6" i="11" l="1"/>
</calcChain>
</file>

<file path=xl/sharedStrings.xml><?xml version="1.0" encoding="utf-8"?>
<sst xmlns="http://schemas.openxmlformats.org/spreadsheetml/2006/main" count="73" uniqueCount="63">
  <si>
    <t>Display week:</t>
  </si>
  <si>
    <t xml:space="preserve">Do not delete this row. This row is hidden to preserve a formula that is used to highlight the current day within the project schedule. </t>
  </si>
  <si>
    <t>Tarea</t>
  </si>
  <si>
    <t>Responsable</t>
  </si>
  <si>
    <t>% Avance</t>
  </si>
  <si>
    <t>Inicio</t>
  </si>
  <si>
    <t>Fin</t>
  </si>
  <si>
    <t>Iniciación</t>
  </si>
  <si>
    <t>Planificación y diseño</t>
  </si>
  <si>
    <t>Ejecución</t>
  </si>
  <si>
    <t>Evaluación</t>
  </si>
  <si>
    <t>Inicio del proyecto:</t>
  </si>
  <si>
    <t>WBS</t>
  </si>
  <si>
    <t>1.1</t>
  </si>
  <si>
    <t>1.2</t>
  </si>
  <si>
    <t>1.3</t>
  </si>
  <si>
    <t>Proyecto Integrado V</t>
  </si>
  <si>
    <t>Definir problema, alcance y objetivos</t>
  </si>
  <si>
    <t>Seleccionar dataset y validar licencia (CC BY-SA 4.0)</t>
  </si>
  <si>
    <t>Criterios de aceptación y riesgos iniciales</t>
  </si>
  <si>
    <t>Estructurar repo y README (fuentes, pasos, licencia)</t>
  </si>
  <si>
    <t>Modelado preliminar (diccionario → esquema SQLite)</t>
  </si>
  <si>
    <t>2.1</t>
  </si>
  <si>
    <t>2.2</t>
  </si>
  <si>
    <t>2.3</t>
  </si>
  <si>
    <t>2.4</t>
  </si>
  <si>
    <t>Planificación en Excel (Diagrama de Gantt)</t>
  </si>
  <si>
    <t>Borrador documento APA (Etapa 1)</t>
  </si>
  <si>
    <t>Crear BD SQLite (db/proyecto.db)</t>
  </si>
  <si>
    <t>Cargar dataset a SQLite (incidentes_raw, incidentes)</t>
  </si>
  <si>
    <t>Exportar CSV desde la base</t>
  </si>
  <si>
    <t>Actualizar README con evidencias del flujo y scripts</t>
  </si>
  <si>
    <t>Checklist final y referencias cruzadas</t>
  </si>
  <si>
    <t>Publicación en GitHub y verificación</t>
  </si>
  <si>
    <t>Depende de</t>
  </si>
  <si>
    <t>Entregable</t>
  </si>
  <si>
    <t>-</t>
  </si>
  <si>
    <t>.1.2</t>
  </si>
  <si>
    <t>Caso de uso definido</t>
  </si>
  <si>
    <t>URL dataset + licencia</t>
  </si>
  <si>
    <t>Lista de criterios y riesgos</t>
  </si>
  <si>
    <t>1.3, 2.2</t>
  </si>
  <si>
    <t>Repo + README base</t>
  </si>
  <si>
    <t>sql/schema.sql</t>
  </si>
  <si>
    <t>docs/Plan_Gantt_EA1_fases.xlsx</t>
  </si>
  <si>
    <t>docs/Documento_APA_Etapa1.docx</t>
  </si>
  <si>
    <t>3.1</t>
  </si>
  <si>
    <t>3.2</t>
  </si>
  <si>
    <t>3.3</t>
  </si>
  <si>
    <t>db/proyecto.db</t>
  </si>
  <si>
    <t>Tablas pobladas</t>
  </si>
  <si>
    <t>db/export.csv</t>
  </si>
  <si>
    <t>README actualizado</t>
  </si>
  <si>
    <t>Control de calidad (filas, nulos, dominios)</t>
  </si>
  <si>
    <t>4.1</t>
  </si>
  <si>
    <t>4.2</t>
  </si>
  <si>
    <t>4.3</t>
  </si>
  <si>
    <t>3.4</t>
  </si>
  <si>
    <t>3.4, 4.2</t>
  </si>
  <si>
    <t>Checklist de calidad</t>
  </si>
  <si>
    <t>URL del repositorio</t>
  </si>
  <si>
    <t>Validacion</t>
  </si>
  <si>
    <t>Siniestralidad Vial en Medellín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</si>
</sst>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8"/>
      <name val="Arial"/>
      <family val="2"/>
      <scheme val="minor"/>
    </font>
    <font>
      <b/>
      <sz val="28"/>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9" fillId="0" borderId="0" xfId="3"/>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7" fillId="12" borderId="20" xfId="0" applyNumberFormat="1" applyFont="1" applyFill="1" applyBorder="1" applyAlignment="1">
      <alignment horizontal="center" vertical="center"/>
    </xf>
    <xf numFmtId="168" fontId="17" fillId="12" borderId="18" xfId="0" applyNumberFormat="1" applyFont="1" applyFill="1" applyBorder="1" applyAlignment="1">
      <alignment horizontal="center" vertical="center"/>
    </xf>
    <xf numFmtId="168"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5" fontId="15"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0" fontId="15" fillId="3" borderId="6" xfId="11" applyFont="1" applyFill="1" applyBorder="1" applyAlignment="1">
      <alignment vertical="center"/>
    </xf>
    <xf numFmtId="9" fontId="1" fillId="3" borderId="6" xfId="2" applyFont="1" applyFill="1" applyBorder="1" applyAlignment="1">
      <alignment horizontal="center" vertical="center"/>
    </xf>
    <xf numFmtId="165" fontId="15" fillId="3" borderId="6" xfId="10" applyFont="1" applyFill="1" applyBorder="1">
      <alignment horizontal="center" vertical="center"/>
    </xf>
    <xf numFmtId="0" fontId="4" fillId="0" borderId="4" xfId="0" applyFont="1" applyBorder="1" applyAlignment="1">
      <alignment vertical="center"/>
    </xf>
    <xf numFmtId="0" fontId="15" fillId="3" borderId="7" xfId="11" applyFont="1" applyFill="1" applyBorder="1" applyAlignment="1">
      <alignment vertical="center"/>
    </xf>
    <xf numFmtId="9" fontId="1" fillId="3" borderId="7" xfId="2" applyFont="1" applyFill="1" applyBorder="1" applyAlignment="1">
      <alignment horizontal="center" vertical="center"/>
    </xf>
    <xf numFmtId="165" fontId="15" fillId="3" borderId="7" xfId="10"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165" fontId="15"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15" fillId="4" borderId="5" xfId="12" applyFont="1" applyFill="1" applyBorder="1">
      <alignment horizontal="left" vertical="center" indent="2"/>
    </xf>
    <xf numFmtId="0" fontId="15" fillId="4" borderId="5" xfId="11" applyFont="1" applyFill="1" applyBorder="1" applyAlignment="1">
      <alignment vertical="center"/>
    </xf>
    <xf numFmtId="9" fontId="1" fillId="4" borderId="5" xfId="2" applyFont="1" applyFill="1" applyBorder="1" applyAlignment="1">
      <alignment horizontal="center" vertical="center"/>
    </xf>
    <xf numFmtId="165" fontId="15" fillId="4" borderId="5" xfId="10" applyFont="1" applyFill="1" applyBorder="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165" fontId="15"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0" fontId="15" fillId="5" borderId="8" xfId="11" applyFont="1" applyFill="1" applyBorder="1" applyAlignment="1">
      <alignment vertical="center"/>
    </xf>
    <xf numFmtId="9" fontId="1" fillId="5" borderId="8" xfId="2" applyFont="1" applyFill="1" applyBorder="1" applyAlignment="1">
      <alignment horizontal="center" vertical="center"/>
    </xf>
    <xf numFmtId="165" fontId="15" fillId="5" borderId="8" xfId="10" applyFont="1" applyFill="1" applyBorder="1">
      <alignment horizontal="center" vertical="center"/>
    </xf>
    <xf numFmtId="0" fontId="19" fillId="9" borderId="0" xfId="0" applyFont="1" applyFill="1" applyAlignment="1">
      <alignment horizontal="left" vertical="center" indent="1"/>
    </xf>
    <xf numFmtId="0" fontId="15" fillId="9" borderId="0" xfId="11" applyFont="1" applyFill="1" applyBorder="1" applyAlignment="1">
      <alignment vertical="center"/>
    </xf>
    <xf numFmtId="9" fontId="1" fillId="9" borderId="0" xfId="2" applyFont="1" applyFill="1" applyBorder="1" applyAlignment="1">
      <alignment horizontal="center" vertical="center"/>
    </xf>
    <xf numFmtId="165" fontId="15"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0" fontId="15" fillId="10" borderId="9" xfId="11" applyFont="1" applyFill="1" applyBorder="1" applyAlignment="1">
      <alignment vertical="center"/>
    </xf>
    <xf numFmtId="9" fontId="1" fillId="10" borderId="9" xfId="2" applyFont="1" applyFill="1" applyBorder="1" applyAlignment="1">
      <alignment horizontal="center" vertical="center"/>
    </xf>
    <xf numFmtId="165" fontId="15" fillId="10" borderId="9" xfId="10" applyFont="1" applyFill="1" applyBorder="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5" fontId="15" fillId="0" borderId="0" xfId="10" applyFont="1" applyBorder="1">
      <alignment horizontal="center" vertical="center"/>
    </xf>
    <xf numFmtId="0" fontId="20" fillId="0" borderId="0" xfId="6" applyFont="1" applyAlignment="1">
      <alignment horizontal="left" vertical="center" indent="1"/>
    </xf>
    <xf numFmtId="0" fontId="20" fillId="0" borderId="0" xfId="7" applyFont="1" applyAlignment="1">
      <alignment horizontal="left" vertical="center" indent="1"/>
    </xf>
    <xf numFmtId="0" fontId="23" fillId="0" borderId="0" xfId="5" applyFont="1" applyAlignment="1">
      <alignment horizontal="left"/>
    </xf>
    <xf numFmtId="0" fontId="4" fillId="0" borderId="0" xfId="0" applyFont="1"/>
    <xf numFmtId="0" fontId="9" fillId="0" borderId="0" xfId="3" applyAlignment="1">
      <alignment wrapText="1"/>
    </xf>
    <xf numFmtId="0" fontId="15" fillId="3" borderId="6" xfId="12" applyFont="1" applyFill="1" applyBorder="1" applyAlignment="1">
      <alignment horizontal="left" vertical="center" wrapText="1"/>
    </xf>
    <xf numFmtId="0" fontId="15" fillId="3" borderId="7" xfId="12" applyFont="1" applyFill="1" applyBorder="1" applyAlignment="1">
      <alignment horizontal="left" vertical="center" wrapText="1"/>
    </xf>
    <xf numFmtId="0" fontId="15" fillId="4" borderId="5" xfId="12" applyFont="1" applyFill="1" applyBorder="1" applyAlignment="1">
      <alignment wrapText="1"/>
    </xf>
    <xf numFmtId="0" fontId="15" fillId="4" borderId="5" xfId="12" applyFont="1" applyFill="1" applyBorder="1" applyAlignment="1">
      <alignment horizontal="left" vertical="center" wrapText="1"/>
    </xf>
    <xf numFmtId="0" fontId="15" fillId="5" borderId="8" xfId="12" applyFont="1" applyFill="1" applyBorder="1" applyAlignment="1">
      <alignment vertical="center" wrapText="1"/>
    </xf>
    <xf numFmtId="0" fontId="15" fillId="10" borderId="9" xfId="12" applyFont="1" applyFill="1" applyBorder="1" applyAlignment="1">
      <alignment vertical="center" wrapText="1"/>
    </xf>
    <xf numFmtId="165" fontId="15" fillId="10" borderId="0" xfId="10" applyFont="1" applyFill="1" applyBorder="1">
      <alignment horizontal="center" vertical="center"/>
    </xf>
    <xf numFmtId="165" fontId="15" fillId="3" borderId="6" xfId="10" applyFont="1" applyFill="1" applyBorder="1" applyAlignment="1">
      <alignment horizontal="center" vertical="center" wrapText="1"/>
    </xf>
    <xf numFmtId="165" fontId="15" fillId="3" borderId="7" xfId="10" applyFont="1" applyFill="1" applyBorder="1" applyAlignment="1">
      <alignment horizontal="center" vertical="center" wrapText="1"/>
    </xf>
    <xf numFmtId="0" fontId="15" fillId="4" borderId="5" xfId="12" applyFont="1" applyFill="1" applyBorder="1" applyAlignment="1">
      <alignment horizontal="center" vertical="center" wrapText="1"/>
    </xf>
    <xf numFmtId="0" fontId="15" fillId="5" borderId="8" xfId="11" applyFont="1" applyFill="1" applyBorder="1" applyAlignment="1">
      <alignment horizontal="center" vertical="center" wrapText="1"/>
    </xf>
    <xf numFmtId="0" fontId="15" fillId="10" borderId="9" xfId="11" applyFont="1" applyFill="1" applyBorder="1" applyAlignment="1">
      <alignment horizontal="left" vertical="center" wrapText="1"/>
    </xf>
    <xf numFmtId="165" fontId="15" fillId="10" borderId="0" xfId="10" applyFont="1" applyFill="1" applyBorder="1" applyAlignment="1">
      <alignment horizontal="center" vertical="center" wrapText="1"/>
    </xf>
    <xf numFmtId="0" fontId="25" fillId="0" borderId="0" xfId="5" applyFont="1" applyAlignment="1">
      <alignment horizontal="left"/>
    </xf>
    <xf numFmtId="0" fontId="9"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vertical="center"/>
    </xf>
    <xf numFmtId="0" fontId="4" fillId="2" borderId="21" xfId="0" applyFont="1" applyFill="1" applyBorder="1" applyAlignment="1"/>
    <xf numFmtId="0" fontId="16" fillId="11" borderId="16" xfId="0" applyFont="1" applyFill="1" applyBorder="1" applyAlignment="1">
      <alignment horizontal="center" vertical="center"/>
    </xf>
    <xf numFmtId="0" fontId="21" fillId="0" borderId="0" xfId="0" applyFont="1" applyAlignment="1">
      <alignment horizontal="left"/>
    </xf>
    <xf numFmtId="0" fontId="22" fillId="0" borderId="0" xfId="0" applyFont="1" applyAlignment="1"/>
    <xf numFmtId="166" fontId="21" fillId="0" borderId="0" xfId="9" applyFont="1" applyBorder="1" applyAlignment="1">
      <alignment horizontal="left"/>
    </xf>
    <xf numFmtId="0" fontId="20" fillId="0" borderId="0" xfId="8" applyFont="1" applyAlignment="1">
      <alignment horizontal="left" wrapText="1"/>
    </xf>
    <xf numFmtId="0" fontId="4" fillId="0" borderId="0" xfId="0" applyFont="1" applyAlignment="1">
      <alignment wrapText="1"/>
    </xf>
    <xf numFmtId="0" fontId="20" fillId="0" borderId="0" xfId="8" applyFont="1" applyAlignment="1">
      <alignment horizontal="left"/>
    </xf>
    <xf numFmtId="0" fontId="4" fillId="0" borderId="0" xfId="0" applyFont="1" applyAlignment="1"/>
    <xf numFmtId="167" fontId="15" fillId="2" borderId="13" xfId="0" applyNumberFormat="1" applyFont="1" applyFill="1" applyBorder="1" applyAlignment="1">
      <alignment horizontal="center" vertical="center" wrapText="1"/>
    </xf>
    <xf numFmtId="167" fontId="15" fillId="2" borderId="19" xfId="0" applyNumberFormat="1" applyFont="1" applyFill="1" applyBorder="1" applyAlignment="1">
      <alignment horizontal="center" vertical="center" wrapText="1"/>
    </xf>
    <xf numFmtId="167" fontId="15" fillId="2" borderId="18" xfId="0" applyNumberFormat="1" applyFont="1" applyFill="1" applyBorder="1" applyAlignment="1">
      <alignment horizontal="center" vertical="center" wrapText="1"/>
    </xf>
  </cellXfs>
  <cellStyles count="13">
    <cellStyle name="Date" xfId="10" xr:uid="{229918B6-DD13-4F5A-97B9-305F7E002AA3}"/>
    <cellStyle name="Encabezado 1" xfId="6" builtinId="16" customBuiltin="1"/>
    <cellStyle name="Hipervínculo" xfId="1" builtinId="8" customBuiltin="1"/>
    <cellStyle name="Millares" xfId="4" builtinId="3" customBuiltin="1"/>
    <cellStyle name="Name" xfId="11" xr:uid="{B2D3C1EE-6B41-4801-AAFC-C2274E49E503}"/>
    <cellStyle name="Normal" xfId="0" builtinId="0"/>
    <cellStyle name="Porcentaje" xfId="2" builtinId="5"/>
    <cellStyle name="Project Start" xfId="9" xr:uid="{8EB8A09A-C31C-40A3-B2C1-9449520178B8}"/>
    <cellStyle name="Task" xfId="12" xr:uid="{6391D789-272B-4DD2-9BF3-2CDCF610FA41}"/>
    <cellStyle name="Título" xfId="5" builtinId="15" customBuiltin="1"/>
    <cellStyle name="Título 2" xfId="7" builtinId="17" customBuiltin="1"/>
    <cellStyle name="Título 3" xfId="8" builtinId="18"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62650</xdr:rowOff>
    </xdr:from>
    <xdr:to>
      <xdr:col>2</xdr:col>
      <xdr:colOff>847725</xdr:colOff>
      <xdr:row>3</xdr:row>
      <xdr:rowOff>130677</xdr:rowOff>
    </xdr:to>
    <xdr:pic>
      <xdr:nvPicPr>
        <xdr:cNvPr id="3" name="Imagen 2">
          <a:extLst>
            <a:ext uri="{FF2B5EF4-FFF2-40B4-BE49-F238E27FC236}">
              <a16:creationId xmlns:a16="http://schemas.microsoft.com/office/drawing/2014/main" id="{74418C1F-34DC-42A9-AD31-156FDDF1949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1751" r="32344"/>
        <a:stretch/>
      </xdr:blipFill>
      <xdr:spPr>
        <a:xfrm>
          <a:off x="219075" y="1205650"/>
          <a:ext cx="1771650" cy="830027"/>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O29"/>
  <sheetViews>
    <sheetView showGridLines="0" tabSelected="1" showRuler="0" topLeftCell="A22" zoomScaleNormal="100" zoomScalePageLayoutView="70" workbookViewId="0">
      <selection activeCell="G2" sqref="G2"/>
    </sheetView>
  </sheetViews>
  <sheetFormatPr baseColWidth="10" defaultColWidth="8.75" defaultRowHeight="30" customHeight="1" x14ac:dyDescent="0.2"/>
  <cols>
    <col min="1" max="1" width="2.75" style="6" customWidth="1"/>
    <col min="2" max="2" width="12.25" customWidth="1"/>
    <col min="3" max="3" width="22.75" customWidth="1"/>
    <col min="4" max="4" width="16.75" customWidth="1"/>
    <col min="5" max="5" width="10.75" customWidth="1"/>
    <col min="6" max="6" width="10.75" style="2" customWidth="1"/>
    <col min="7" max="8" width="10.75" customWidth="1"/>
    <col min="9" max="9" width="15" customWidth="1"/>
    <col min="10" max="10" width="2.75" customWidth="1"/>
    <col min="11" max="11" width="6" hidden="1" customWidth="1"/>
    <col min="12" max="68" width="2.75" customWidth="1"/>
  </cols>
  <sheetData>
    <row r="1" spans="1:67" ht="90" customHeight="1" x14ac:dyDescent="1.1000000000000001">
      <c r="A1" s="85"/>
      <c r="B1" s="99" t="s">
        <v>62</v>
      </c>
      <c r="C1" s="83"/>
      <c r="D1" s="10"/>
      <c r="E1" s="11"/>
      <c r="F1" s="12"/>
      <c r="G1" s="13"/>
      <c r="H1" s="13"/>
      <c r="I1" s="13"/>
      <c r="K1" s="1"/>
      <c r="L1" s="109" t="s">
        <v>11</v>
      </c>
      <c r="M1" s="110"/>
      <c r="N1" s="110"/>
      <c r="O1" s="110"/>
      <c r="P1" s="110"/>
      <c r="Q1" s="110"/>
      <c r="R1" s="110"/>
      <c r="S1" s="16"/>
      <c r="T1" s="108">
        <v>45964</v>
      </c>
      <c r="U1" s="107"/>
      <c r="V1" s="107"/>
      <c r="W1" s="107"/>
      <c r="X1" s="107"/>
      <c r="Y1" s="107"/>
      <c r="Z1" s="107"/>
      <c r="AA1" s="107"/>
      <c r="AB1" s="107"/>
      <c r="AC1" s="107"/>
    </row>
    <row r="2" spans="1:67" ht="30" customHeight="1" x14ac:dyDescent="0.5">
      <c r="B2" s="81"/>
      <c r="C2" s="81"/>
      <c r="D2" s="82" t="s">
        <v>16</v>
      </c>
      <c r="E2" s="14"/>
      <c r="F2" s="15"/>
      <c r="G2" s="14"/>
      <c r="H2" s="14"/>
      <c r="I2" s="14"/>
      <c r="L2" s="111" t="s">
        <v>0</v>
      </c>
      <c r="M2" s="112"/>
      <c r="N2" s="112"/>
      <c r="O2" s="112"/>
      <c r="P2" s="112"/>
      <c r="Q2" s="112"/>
      <c r="R2" s="112"/>
      <c r="S2" s="16"/>
      <c r="T2" s="106">
        <v>1</v>
      </c>
      <c r="U2" s="107"/>
      <c r="V2" s="107"/>
      <c r="W2" s="107"/>
      <c r="X2" s="107"/>
      <c r="Y2" s="107"/>
      <c r="Z2" s="107"/>
      <c r="AA2" s="107"/>
      <c r="AB2" s="107"/>
      <c r="AC2" s="107"/>
    </row>
    <row r="3" spans="1:67" s="18" customFormat="1" ht="30" customHeight="1" x14ac:dyDescent="0.25">
      <c r="A3" s="6"/>
      <c r="B3" s="17"/>
      <c r="C3" s="17"/>
      <c r="D3" s="84"/>
      <c r="E3" s="19"/>
      <c r="F3" s="20"/>
      <c r="G3" s="84"/>
      <c r="H3" s="84"/>
      <c r="I3" s="84"/>
      <c r="J3" s="84"/>
      <c r="K3" s="84"/>
      <c r="L3" s="84"/>
      <c r="M3" s="84"/>
      <c r="N3" s="84"/>
      <c r="O3" s="84"/>
      <c r="P3" s="84"/>
      <c r="Q3" s="84"/>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84"/>
      <c r="BK3" s="84"/>
      <c r="BL3" s="84"/>
      <c r="BM3" s="84"/>
      <c r="BN3" s="84"/>
      <c r="BO3" s="84"/>
    </row>
    <row r="4" spans="1:67" s="18" customFormat="1" ht="30" customHeight="1" x14ac:dyDescent="0.2">
      <c r="A4" s="85"/>
      <c r="B4" s="21"/>
      <c r="C4" s="21"/>
      <c r="D4" s="84"/>
      <c r="E4" s="84"/>
      <c r="F4" s="22"/>
      <c r="G4" s="84"/>
      <c r="H4" s="84"/>
      <c r="I4" s="84"/>
      <c r="J4" s="84"/>
      <c r="K4" s="84"/>
      <c r="L4" s="115">
        <f>L5</f>
        <v>45964</v>
      </c>
      <c r="M4" s="113"/>
      <c r="N4" s="113"/>
      <c r="O4" s="113"/>
      <c r="P4" s="113"/>
      <c r="Q4" s="113"/>
      <c r="R4" s="113"/>
      <c r="S4" s="113">
        <f>S5</f>
        <v>45971</v>
      </c>
      <c r="T4" s="113"/>
      <c r="U4" s="113"/>
      <c r="V4" s="113"/>
      <c r="W4" s="113"/>
      <c r="X4" s="113"/>
      <c r="Y4" s="113"/>
      <c r="Z4" s="113">
        <f>Z5</f>
        <v>45978</v>
      </c>
      <c r="AA4" s="113"/>
      <c r="AB4" s="113"/>
      <c r="AC4" s="113"/>
      <c r="AD4" s="113"/>
      <c r="AE4" s="113"/>
      <c r="AF4" s="113"/>
      <c r="AG4" s="113">
        <f>AG5</f>
        <v>45985</v>
      </c>
      <c r="AH4" s="113"/>
      <c r="AI4" s="113"/>
      <c r="AJ4" s="113"/>
      <c r="AK4" s="113"/>
      <c r="AL4" s="113"/>
      <c r="AM4" s="113"/>
      <c r="AN4" s="113">
        <f>AN5</f>
        <v>45992</v>
      </c>
      <c r="AO4" s="113"/>
      <c r="AP4" s="113"/>
      <c r="AQ4" s="113"/>
      <c r="AR4" s="113"/>
      <c r="AS4" s="113"/>
      <c r="AT4" s="113"/>
      <c r="AU4" s="113">
        <f>AU5</f>
        <v>45999</v>
      </c>
      <c r="AV4" s="113"/>
      <c r="AW4" s="113"/>
      <c r="AX4" s="113"/>
      <c r="AY4" s="113"/>
      <c r="AZ4" s="113"/>
      <c r="BA4" s="113"/>
      <c r="BB4" s="113">
        <f>BB5</f>
        <v>46006</v>
      </c>
      <c r="BC4" s="113"/>
      <c r="BD4" s="113"/>
      <c r="BE4" s="113"/>
      <c r="BF4" s="113"/>
      <c r="BG4" s="113"/>
      <c r="BH4" s="113"/>
      <c r="BI4" s="113">
        <f>BI5</f>
        <v>46013</v>
      </c>
      <c r="BJ4" s="113"/>
      <c r="BK4" s="113"/>
      <c r="BL4" s="113"/>
      <c r="BM4" s="113"/>
      <c r="BN4" s="113"/>
      <c r="BO4" s="114"/>
    </row>
    <row r="5" spans="1:67" s="18" customFormat="1" ht="15" customHeight="1" x14ac:dyDescent="0.2">
      <c r="A5" s="100"/>
      <c r="B5" s="101" t="s">
        <v>12</v>
      </c>
      <c r="C5" s="101" t="s">
        <v>2</v>
      </c>
      <c r="D5" s="103" t="s">
        <v>3</v>
      </c>
      <c r="E5" s="105" t="s">
        <v>4</v>
      </c>
      <c r="F5" s="105" t="s">
        <v>5</v>
      </c>
      <c r="G5" s="105" t="s">
        <v>6</v>
      </c>
      <c r="H5" s="105" t="s">
        <v>34</v>
      </c>
      <c r="I5" s="105" t="s">
        <v>35</v>
      </c>
      <c r="J5" s="84"/>
      <c r="K5" s="84"/>
      <c r="L5" s="23">
        <f>Project_Start-WEEKDAY(Project_Start,1)+2+7*(Display_Week-1)</f>
        <v>45964</v>
      </c>
      <c r="M5" s="23">
        <f>L5+1</f>
        <v>45965</v>
      </c>
      <c r="N5" s="23">
        <f t="shared" ref="N5:BA5" si="0">M5+1</f>
        <v>45966</v>
      </c>
      <c r="O5" s="23">
        <f t="shared" si="0"/>
        <v>45967</v>
      </c>
      <c r="P5" s="23">
        <f t="shared" si="0"/>
        <v>45968</v>
      </c>
      <c r="Q5" s="23">
        <f t="shared" si="0"/>
        <v>45969</v>
      </c>
      <c r="R5" s="24">
        <f t="shared" si="0"/>
        <v>45970</v>
      </c>
      <c r="S5" s="25">
        <f>R5+1</f>
        <v>45971</v>
      </c>
      <c r="T5" s="23">
        <f>S5+1</f>
        <v>45972</v>
      </c>
      <c r="U5" s="23">
        <f t="shared" si="0"/>
        <v>45973</v>
      </c>
      <c r="V5" s="23">
        <f t="shared" si="0"/>
        <v>45974</v>
      </c>
      <c r="W5" s="23">
        <f t="shared" si="0"/>
        <v>45975</v>
      </c>
      <c r="X5" s="23">
        <f t="shared" si="0"/>
        <v>45976</v>
      </c>
      <c r="Y5" s="24">
        <f t="shared" si="0"/>
        <v>45977</v>
      </c>
      <c r="Z5" s="25">
        <f>Y5+1</f>
        <v>45978</v>
      </c>
      <c r="AA5" s="23">
        <f>Z5+1</f>
        <v>45979</v>
      </c>
      <c r="AB5" s="23">
        <f t="shared" si="0"/>
        <v>45980</v>
      </c>
      <c r="AC5" s="23">
        <f t="shared" si="0"/>
        <v>45981</v>
      </c>
      <c r="AD5" s="23">
        <f t="shared" si="0"/>
        <v>45982</v>
      </c>
      <c r="AE5" s="23">
        <f t="shared" si="0"/>
        <v>45983</v>
      </c>
      <c r="AF5" s="24">
        <f t="shared" si="0"/>
        <v>45984</v>
      </c>
      <c r="AG5" s="25">
        <f>AF5+1</f>
        <v>45985</v>
      </c>
      <c r="AH5" s="23">
        <f>AG5+1</f>
        <v>45986</v>
      </c>
      <c r="AI5" s="23">
        <f t="shared" si="0"/>
        <v>45987</v>
      </c>
      <c r="AJ5" s="23">
        <f t="shared" si="0"/>
        <v>45988</v>
      </c>
      <c r="AK5" s="23">
        <f t="shared" si="0"/>
        <v>45989</v>
      </c>
      <c r="AL5" s="23">
        <f t="shared" si="0"/>
        <v>45990</v>
      </c>
      <c r="AM5" s="24">
        <f t="shared" si="0"/>
        <v>45991</v>
      </c>
      <c r="AN5" s="25">
        <f>AM5+1</f>
        <v>45992</v>
      </c>
      <c r="AO5" s="23">
        <f>AN5+1</f>
        <v>45993</v>
      </c>
      <c r="AP5" s="23">
        <f t="shared" si="0"/>
        <v>45994</v>
      </c>
      <c r="AQ5" s="23">
        <f t="shared" si="0"/>
        <v>45995</v>
      </c>
      <c r="AR5" s="23">
        <f t="shared" si="0"/>
        <v>45996</v>
      </c>
      <c r="AS5" s="23">
        <f t="shared" si="0"/>
        <v>45997</v>
      </c>
      <c r="AT5" s="24">
        <f t="shared" si="0"/>
        <v>45998</v>
      </c>
      <c r="AU5" s="25">
        <f>AT5+1</f>
        <v>45999</v>
      </c>
      <c r="AV5" s="23">
        <f>AU5+1</f>
        <v>46000</v>
      </c>
      <c r="AW5" s="23">
        <f t="shared" si="0"/>
        <v>46001</v>
      </c>
      <c r="AX5" s="23">
        <f t="shared" si="0"/>
        <v>46002</v>
      </c>
      <c r="AY5" s="23">
        <f t="shared" si="0"/>
        <v>46003</v>
      </c>
      <c r="AZ5" s="23">
        <f t="shared" si="0"/>
        <v>46004</v>
      </c>
      <c r="BA5" s="24">
        <f t="shared" si="0"/>
        <v>46005</v>
      </c>
      <c r="BB5" s="25">
        <f>BA5+1</f>
        <v>46006</v>
      </c>
      <c r="BC5" s="23">
        <f>BB5+1</f>
        <v>46007</v>
      </c>
      <c r="BD5" s="23">
        <f t="shared" ref="BD5:BH5" si="1">BC5+1</f>
        <v>46008</v>
      </c>
      <c r="BE5" s="23">
        <f t="shared" si="1"/>
        <v>46009</v>
      </c>
      <c r="BF5" s="23">
        <f t="shared" si="1"/>
        <v>46010</v>
      </c>
      <c r="BG5" s="23">
        <f t="shared" si="1"/>
        <v>46011</v>
      </c>
      <c r="BH5" s="24">
        <f t="shared" si="1"/>
        <v>46012</v>
      </c>
      <c r="BI5" s="25">
        <f>BH5+1</f>
        <v>46013</v>
      </c>
      <c r="BJ5" s="23">
        <f>BI5+1</f>
        <v>46014</v>
      </c>
      <c r="BK5" s="23">
        <f t="shared" ref="BK5:BO5" si="2">BJ5+1</f>
        <v>46015</v>
      </c>
      <c r="BL5" s="23">
        <f t="shared" si="2"/>
        <v>46016</v>
      </c>
      <c r="BM5" s="23">
        <f t="shared" si="2"/>
        <v>46017</v>
      </c>
      <c r="BN5" s="23">
        <f t="shared" si="2"/>
        <v>46018</v>
      </c>
      <c r="BO5" s="23">
        <f t="shared" si="2"/>
        <v>46019</v>
      </c>
    </row>
    <row r="6" spans="1:67" s="18" customFormat="1" ht="15" customHeight="1" thickBot="1" x14ac:dyDescent="0.25">
      <c r="A6" s="100"/>
      <c r="B6" s="102"/>
      <c r="C6" s="102"/>
      <c r="D6" s="104"/>
      <c r="E6" s="104"/>
      <c r="F6" s="104"/>
      <c r="G6" s="104"/>
      <c r="H6" s="104"/>
      <c r="I6" s="104"/>
      <c r="J6" s="84"/>
      <c r="K6" s="84"/>
      <c r="L6" s="26" t="str">
        <f t="shared" ref="L6:AQ6" si="3">LEFT(TEXT(L5,"ddd"),1)</f>
        <v>l</v>
      </c>
      <c r="M6" s="27" t="str">
        <f t="shared" si="3"/>
        <v>m</v>
      </c>
      <c r="N6" s="27" t="str">
        <f t="shared" si="3"/>
        <v>m</v>
      </c>
      <c r="O6" s="27" t="str">
        <f t="shared" si="3"/>
        <v>j</v>
      </c>
      <c r="P6" s="27" t="str">
        <f t="shared" si="3"/>
        <v>v</v>
      </c>
      <c r="Q6" s="27" t="str">
        <f t="shared" si="3"/>
        <v>s</v>
      </c>
      <c r="R6" s="27" t="str">
        <f>LEFT(TEXT(R5,"ddd"),1)</f>
        <v>d</v>
      </c>
      <c r="S6" s="27" t="str">
        <f t="shared" si="3"/>
        <v>l</v>
      </c>
      <c r="T6" s="27" t="str">
        <f t="shared" si="3"/>
        <v>m</v>
      </c>
      <c r="U6" s="27" t="str">
        <f t="shared" si="3"/>
        <v>m</v>
      </c>
      <c r="V6" s="27" t="str">
        <f t="shared" si="3"/>
        <v>j</v>
      </c>
      <c r="W6" s="27" t="str">
        <f t="shared" si="3"/>
        <v>v</v>
      </c>
      <c r="X6" s="27" t="str">
        <f t="shared" si="3"/>
        <v>s</v>
      </c>
      <c r="Y6" s="27" t="str">
        <f t="shared" si="3"/>
        <v>d</v>
      </c>
      <c r="Z6" s="27" t="str">
        <f t="shared" si="3"/>
        <v>l</v>
      </c>
      <c r="AA6" s="27" t="str">
        <f t="shared" si="3"/>
        <v>m</v>
      </c>
      <c r="AB6" s="27" t="str">
        <f t="shared" si="3"/>
        <v>m</v>
      </c>
      <c r="AC6" s="27" t="str">
        <f t="shared" si="3"/>
        <v>j</v>
      </c>
      <c r="AD6" s="27" t="str">
        <f t="shared" si="3"/>
        <v>v</v>
      </c>
      <c r="AE6" s="27" t="str">
        <f t="shared" si="3"/>
        <v>s</v>
      </c>
      <c r="AF6" s="27" t="str">
        <f t="shared" si="3"/>
        <v>d</v>
      </c>
      <c r="AG6" s="27" t="str">
        <f t="shared" si="3"/>
        <v>l</v>
      </c>
      <c r="AH6" s="27" t="str">
        <f t="shared" si="3"/>
        <v>m</v>
      </c>
      <c r="AI6" s="27" t="str">
        <f t="shared" si="3"/>
        <v>m</v>
      </c>
      <c r="AJ6" s="27" t="str">
        <f t="shared" si="3"/>
        <v>j</v>
      </c>
      <c r="AK6" s="27" t="str">
        <f t="shared" si="3"/>
        <v>v</v>
      </c>
      <c r="AL6" s="27" t="str">
        <f t="shared" si="3"/>
        <v>s</v>
      </c>
      <c r="AM6" s="27" t="str">
        <f t="shared" si="3"/>
        <v>d</v>
      </c>
      <c r="AN6" s="27" t="str">
        <f t="shared" si="3"/>
        <v>l</v>
      </c>
      <c r="AO6" s="27" t="str">
        <f t="shared" si="3"/>
        <v>m</v>
      </c>
      <c r="AP6" s="27" t="str">
        <f t="shared" si="3"/>
        <v>m</v>
      </c>
      <c r="AQ6" s="27" t="str">
        <f t="shared" si="3"/>
        <v>j</v>
      </c>
      <c r="AR6" s="27" t="str">
        <f t="shared" ref="AR6:BO6" si="4">LEFT(TEXT(AR5,"ddd"),1)</f>
        <v>v</v>
      </c>
      <c r="AS6" s="27" t="str">
        <f t="shared" si="4"/>
        <v>s</v>
      </c>
      <c r="AT6" s="27" t="str">
        <f t="shared" si="4"/>
        <v>d</v>
      </c>
      <c r="AU6" s="27" t="str">
        <f t="shared" si="4"/>
        <v>l</v>
      </c>
      <c r="AV6" s="27" t="str">
        <f t="shared" si="4"/>
        <v>m</v>
      </c>
      <c r="AW6" s="27" t="str">
        <f t="shared" si="4"/>
        <v>m</v>
      </c>
      <c r="AX6" s="27" t="str">
        <f t="shared" si="4"/>
        <v>j</v>
      </c>
      <c r="AY6" s="27" t="str">
        <f t="shared" si="4"/>
        <v>v</v>
      </c>
      <c r="AZ6" s="27" t="str">
        <f t="shared" si="4"/>
        <v>s</v>
      </c>
      <c r="BA6" s="27" t="str">
        <f t="shared" si="4"/>
        <v>d</v>
      </c>
      <c r="BB6" s="27" t="str">
        <f t="shared" si="4"/>
        <v>l</v>
      </c>
      <c r="BC6" s="27" t="str">
        <f t="shared" si="4"/>
        <v>m</v>
      </c>
      <c r="BD6" s="27" t="str">
        <f t="shared" si="4"/>
        <v>m</v>
      </c>
      <c r="BE6" s="27" t="str">
        <f t="shared" si="4"/>
        <v>j</v>
      </c>
      <c r="BF6" s="27" t="str">
        <f t="shared" si="4"/>
        <v>v</v>
      </c>
      <c r="BG6" s="27" t="str">
        <f t="shared" si="4"/>
        <v>s</v>
      </c>
      <c r="BH6" s="27" t="str">
        <f t="shared" si="4"/>
        <v>d</v>
      </c>
      <c r="BI6" s="27" t="str">
        <f t="shared" si="4"/>
        <v>l</v>
      </c>
      <c r="BJ6" s="27" t="str">
        <f t="shared" si="4"/>
        <v>m</v>
      </c>
      <c r="BK6" s="27" t="str">
        <f t="shared" si="4"/>
        <v>m</v>
      </c>
      <c r="BL6" s="27" t="str">
        <f t="shared" si="4"/>
        <v>j</v>
      </c>
      <c r="BM6" s="27" t="str">
        <f t="shared" si="4"/>
        <v>v</v>
      </c>
      <c r="BN6" s="27" t="str">
        <f t="shared" si="4"/>
        <v>s</v>
      </c>
      <c r="BO6" s="28" t="str">
        <f t="shared" si="4"/>
        <v>d</v>
      </c>
    </row>
    <row r="7" spans="1:67" s="18" customFormat="1" ht="30" hidden="1" customHeight="1" thickBot="1" x14ac:dyDescent="0.25">
      <c r="A7" s="6" t="s">
        <v>1</v>
      </c>
      <c r="B7" s="29"/>
      <c r="C7" s="29"/>
      <c r="D7" s="30"/>
      <c r="E7" s="29"/>
      <c r="F7" s="29"/>
      <c r="G7" s="29"/>
      <c r="H7" s="29"/>
      <c r="I7" s="29"/>
      <c r="J7" s="84"/>
      <c r="K7" s="84" t="str">
        <f>IF(OR(ISBLANK(task_start),ISBLANK(task_end)),"",task_end-task_start+1)</f>
        <v/>
      </c>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row>
    <row r="8" spans="1:67" s="38" customFormat="1" ht="30" customHeight="1" thickBot="1" x14ac:dyDescent="0.25">
      <c r="A8" s="85"/>
      <c r="B8" s="32" t="s">
        <v>7</v>
      </c>
      <c r="C8" s="32"/>
      <c r="D8" s="33"/>
      <c r="E8" s="34"/>
      <c r="F8" s="35"/>
      <c r="G8" s="36"/>
      <c r="H8" s="36"/>
      <c r="I8" s="36"/>
      <c r="J8" s="9"/>
      <c r="K8" s="5" t="str">
        <f t="shared" ref="K8:K26" si="5">IF(OR(ISBLANK(task_start),ISBLANK(task_end)),"",task_end-task_start+1)</f>
        <v/>
      </c>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row>
    <row r="9" spans="1:67" s="38" customFormat="1" ht="30" customHeight="1" thickBot="1" x14ac:dyDescent="0.25">
      <c r="A9" s="85"/>
      <c r="B9" s="39" t="s">
        <v>13</v>
      </c>
      <c r="C9" s="86" t="s">
        <v>17</v>
      </c>
      <c r="D9" s="40"/>
      <c r="E9" s="41">
        <v>1</v>
      </c>
      <c r="F9" s="42">
        <f>Project_Start</f>
        <v>45964</v>
      </c>
      <c r="G9" s="42">
        <f>F9+3</f>
        <v>45967</v>
      </c>
      <c r="H9" s="42" t="s">
        <v>36</v>
      </c>
      <c r="I9" s="93" t="s">
        <v>38</v>
      </c>
      <c r="J9" s="9"/>
      <c r="K9" s="5">
        <f t="shared" si="5"/>
        <v>4</v>
      </c>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row>
    <row r="10" spans="1:67" s="38" customFormat="1" ht="26.25" thickBot="1" x14ac:dyDescent="0.25">
      <c r="A10" s="85"/>
      <c r="B10" s="39" t="s">
        <v>14</v>
      </c>
      <c r="C10" s="87" t="s">
        <v>18</v>
      </c>
      <c r="D10" s="44"/>
      <c r="E10" s="45">
        <v>1</v>
      </c>
      <c r="F10" s="46">
        <f>G9</f>
        <v>45967</v>
      </c>
      <c r="G10" s="46">
        <f>F10+2</f>
        <v>45969</v>
      </c>
      <c r="H10" s="46" t="s">
        <v>13</v>
      </c>
      <c r="I10" s="94" t="s">
        <v>39</v>
      </c>
      <c r="J10" s="9"/>
      <c r="K10" s="5">
        <f t="shared" si="5"/>
        <v>3</v>
      </c>
      <c r="L10" s="43"/>
      <c r="M10" s="43"/>
      <c r="N10" s="43"/>
      <c r="O10" s="43"/>
      <c r="P10" s="43"/>
      <c r="Q10" s="43"/>
      <c r="R10" s="43"/>
      <c r="S10" s="43"/>
      <c r="T10" s="43"/>
      <c r="U10" s="43"/>
      <c r="V10" s="43"/>
      <c r="W10" s="43"/>
      <c r="X10" s="47"/>
      <c r="Y10" s="47"/>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row>
    <row r="11" spans="1:67" s="38" customFormat="1" ht="26.25" thickBot="1" x14ac:dyDescent="0.25">
      <c r="A11" s="6"/>
      <c r="B11" s="39" t="s">
        <v>15</v>
      </c>
      <c r="C11" s="87" t="s">
        <v>19</v>
      </c>
      <c r="D11" s="44"/>
      <c r="E11" s="45">
        <v>1</v>
      </c>
      <c r="F11" s="46">
        <f>G10</f>
        <v>45969</v>
      </c>
      <c r="G11" s="46">
        <f>F11+4</f>
        <v>45973</v>
      </c>
      <c r="H11" s="46" t="s">
        <v>37</v>
      </c>
      <c r="I11" s="94" t="s">
        <v>40</v>
      </c>
      <c r="J11" s="9"/>
      <c r="K11" s="5">
        <f t="shared" si="5"/>
        <v>5</v>
      </c>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row>
    <row r="12" spans="1:67" s="38" customFormat="1" ht="30" customHeight="1" thickBot="1" x14ac:dyDescent="0.25">
      <c r="A12" s="85"/>
      <c r="B12" s="48" t="s">
        <v>8</v>
      </c>
      <c r="C12" s="48"/>
      <c r="D12" s="49"/>
      <c r="E12" s="50"/>
      <c r="F12" s="51"/>
      <c r="G12" s="52"/>
      <c r="H12" s="52"/>
      <c r="I12" s="52"/>
      <c r="J12" s="9"/>
      <c r="K12" s="5" t="str">
        <f t="shared" si="5"/>
        <v/>
      </c>
    </row>
    <row r="13" spans="1:67" s="38" customFormat="1" ht="26.25" thickBot="1" x14ac:dyDescent="0.25">
      <c r="A13" s="85"/>
      <c r="B13" s="53" t="s">
        <v>22</v>
      </c>
      <c r="C13" s="88" t="s">
        <v>20</v>
      </c>
      <c r="D13" s="54"/>
      <c r="E13" s="55">
        <v>1</v>
      </c>
      <c r="F13" s="56">
        <f>F11+1</f>
        <v>45970</v>
      </c>
      <c r="G13" s="56">
        <f>F13+4</f>
        <v>45974</v>
      </c>
      <c r="H13" s="95" t="s">
        <v>14</v>
      </c>
      <c r="I13" s="95" t="s">
        <v>42</v>
      </c>
      <c r="J13" s="9"/>
      <c r="K13" s="5">
        <f t="shared" si="5"/>
        <v>5</v>
      </c>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c r="BM13" s="43"/>
      <c r="BN13" s="43"/>
      <c r="BO13" s="43"/>
    </row>
    <row r="14" spans="1:67" s="38" customFormat="1" ht="39" thickBot="1" x14ac:dyDescent="0.25">
      <c r="A14" s="6"/>
      <c r="B14" s="53" t="s">
        <v>23</v>
      </c>
      <c r="C14" s="88" t="s">
        <v>21</v>
      </c>
      <c r="D14" s="54"/>
      <c r="E14" s="55">
        <v>1</v>
      </c>
      <c r="F14" s="56">
        <f>F13+2</f>
        <v>45972</v>
      </c>
      <c r="G14" s="56">
        <f>F14+5</f>
        <v>45977</v>
      </c>
      <c r="H14" s="95" t="s">
        <v>22</v>
      </c>
      <c r="I14" s="95" t="s">
        <v>43</v>
      </c>
      <c r="J14" s="9"/>
      <c r="K14" s="5">
        <f t="shared" si="5"/>
        <v>6</v>
      </c>
      <c r="L14" s="43"/>
      <c r="M14" s="43"/>
      <c r="N14" s="43"/>
      <c r="O14" s="43"/>
      <c r="P14" s="43"/>
      <c r="Q14" s="43"/>
      <c r="R14" s="43"/>
      <c r="S14" s="43"/>
      <c r="T14" s="43"/>
      <c r="U14" s="43"/>
      <c r="V14" s="43"/>
      <c r="W14" s="43"/>
      <c r="X14" s="47"/>
      <c r="Y14" s="47"/>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row>
    <row r="15" spans="1:67" s="38" customFormat="1" ht="26.25" thickBot="1" x14ac:dyDescent="0.25">
      <c r="A15" s="6"/>
      <c r="B15" s="53" t="s">
        <v>24</v>
      </c>
      <c r="C15" s="88" t="s">
        <v>26</v>
      </c>
      <c r="D15" s="54"/>
      <c r="E15" s="55">
        <v>1</v>
      </c>
      <c r="F15" s="56">
        <f>G14</f>
        <v>45977</v>
      </c>
      <c r="G15" s="56">
        <f>F15+3</f>
        <v>45980</v>
      </c>
      <c r="H15" s="95" t="s">
        <v>15</v>
      </c>
      <c r="I15" s="95" t="s">
        <v>44</v>
      </c>
      <c r="J15" s="9"/>
      <c r="K15" s="5">
        <f t="shared" si="5"/>
        <v>4</v>
      </c>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row>
    <row r="16" spans="1:67" s="38" customFormat="1" ht="30" customHeight="1" thickBot="1" x14ac:dyDescent="0.25">
      <c r="A16" s="6"/>
      <c r="B16" s="53" t="s">
        <v>25</v>
      </c>
      <c r="C16" s="89" t="s">
        <v>27</v>
      </c>
      <c r="D16" s="54"/>
      <c r="E16" s="55">
        <v>1</v>
      </c>
      <c r="F16" s="56">
        <f>F15</f>
        <v>45977</v>
      </c>
      <c r="G16" s="56">
        <f>F16+2</f>
        <v>45979</v>
      </c>
      <c r="H16" s="95" t="s">
        <v>41</v>
      </c>
      <c r="I16" s="88" t="s">
        <v>45</v>
      </c>
      <c r="J16" s="9"/>
      <c r="K16" s="5">
        <f t="shared" si="5"/>
        <v>3</v>
      </c>
      <c r="L16" s="43"/>
      <c r="M16" s="43"/>
      <c r="N16" s="43"/>
      <c r="O16" s="43"/>
      <c r="P16" s="43"/>
      <c r="Q16" s="43"/>
      <c r="R16" s="43"/>
      <c r="S16" s="43"/>
      <c r="T16" s="43"/>
      <c r="U16" s="43"/>
      <c r="V16" s="43"/>
      <c r="W16" s="43"/>
      <c r="X16" s="43"/>
      <c r="Y16" s="43"/>
      <c r="Z16" s="43"/>
      <c r="AA16" s="43"/>
      <c r="AB16" s="47"/>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row>
    <row r="17" spans="1:67" s="38" customFormat="1" ht="30" customHeight="1" thickBot="1" x14ac:dyDescent="0.25">
      <c r="A17" s="6"/>
      <c r="B17" s="57" t="s">
        <v>9</v>
      </c>
      <c r="C17" s="57"/>
      <c r="D17" s="58"/>
      <c r="E17" s="59"/>
      <c r="F17" s="60"/>
      <c r="G17" s="61"/>
      <c r="H17" s="61"/>
      <c r="I17" s="61"/>
      <c r="J17" s="9"/>
      <c r="K17" s="5" t="str">
        <f t="shared" si="5"/>
        <v/>
      </c>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2"/>
    </row>
    <row r="18" spans="1:67" s="38" customFormat="1" ht="30" customHeight="1" thickBot="1" x14ac:dyDescent="0.25">
      <c r="A18" s="6"/>
      <c r="B18" s="63" t="s">
        <v>46</v>
      </c>
      <c r="C18" s="90" t="s">
        <v>28</v>
      </c>
      <c r="D18" s="64"/>
      <c r="E18" s="65">
        <v>1</v>
      </c>
      <c r="F18" s="66">
        <f>F9+15</f>
        <v>45979</v>
      </c>
      <c r="G18" s="66">
        <f>F18+5</f>
        <v>45984</v>
      </c>
      <c r="H18" s="96" t="s">
        <v>23</v>
      </c>
      <c r="I18" s="96" t="s">
        <v>49</v>
      </c>
      <c r="J18" s="9"/>
      <c r="K18" s="5">
        <f t="shared" si="5"/>
        <v>6</v>
      </c>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c r="BM18" s="43"/>
      <c r="BN18" s="43"/>
      <c r="BO18" s="43"/>
    </row>
    <row r="19" spans="1:67" s="38" customFormat="1" ht="30" customHeight="1" thickBot="1" x14ac:dyDescent="0.25">
      <c r="A19" s="6"/>
      <c r="B19" s="63" t="s">
        <v>47</v>
      </c>
      <c r="C19" s="90" t="s">
        <v>29</v>
      </c>
      <c r="D19" s="64"/>
      <c r="E19" s="65">
        <v>1</v>
      </c>
      <c r="F19" s="66">
        <f>G18+1</f>
        <v>45985</v>
      </c>
      <c r="G19" s="66">
        <f>F19+4</f>
        <v>45989</v>
      </c>
      <c r="H19" s="96" t="s">
        <v>46</v>
      </c>
      <c r="I19" s="96" t="s">
        <v>50</v>
      </c>
      <c r="J19" s="9"/>
      <c r="K19" s="5">
        <f t="shared" si="5"/>
        <v>5</v>
      </c>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c r="BM19" s="43"/>
      <c r="BN19" s="43"/>
      <c r="BO19" s="43"/>
    </row>
    <row r="20" spans="1:67" s="38" customFormat="1" ht="30" customHeight="1" thickBot="1" x14ac:dyDescent="0.25">
      <c r="A20" s="6"/>
      <c r="B20" s="63" t="s">
        <v>48</v>
      </c>
      <c r="C20" s="90" t="s">
        <v>30</v>
      </c>
      <c r="D20" s="64"/>
      <c r="E20" s="65">
        <v>1</v>
      </c>
      <c r="F20" s="66">
        <f>F19+5</f>
        <v>45990</v>
      </c>
      <c r="G20" s="66">
        <f>F20+5</f>
        <v>45995</v>
      </c>
      <c r="H20" s="96" t="s">
        <v>47</v>
      </c>
      <c r="I20" s="96" t="s">
        <v>51</v>
      </c>
      <c r="J20" s="9"/>
      <c r="K20" s="5">
        <f t="shared" si="5"/>
        <v>6</v>
      </c>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c r="BM20" s="43"/>
      <c r="BN20" s="43"/>
      <c r="BO20" s="43"/>
    </row>
    <row r="21" spans="1:67" s="38" customFormat="1" ht="30" customHeight="1" thickBot="1" x14ac:dyDescent="0.25">
      <c r="A21" s="6"/>
      <c r="B21" s="63" t="s">
        <v>57</v>
      </c>
      <c r="C21" s="90" t="s">
        <v>31</v>
      </c>
      <c r="D21" s="64"/>
      <c r="E21" s="65">
        <v>1</v>
      </c>
      <c r="F21" s="66">
        <f>G20+1</f>
        <v>45996</v>
      </c>
      <c r="G21" s="66">
        <f>F21+4</f>
        <v>46000</v>
      </c>
      <c r="H21" s="96" t="s">
        <v>48</v>
      </c>
      <c r="I21" s="96" t="s">
        <v>52</v>
      </c>
      <c r="J21" s="9"/>
      <c r="K21" s="5">
        <f t="shared" si="5"/>
        <v>5</v>
      </c>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c r="BM21" s="43"/>
      <c r="BN21" s="43"/>
      <c r="BO21" s="43"/>
    </row>
    <row r="22" spans="1:67" s="38" customFormat="1" ht="30" customHeight="1" thickBot="1" x14ac:dyDescent="0.25">
      <c r="A22" s="6"/>
      <c r="B22" s="67" t="s">
        <v>10</v>
      </c>
      <c r="C22" s="67"/>
      <c r="D22" s="68"/>
      <c r="E22" s="69"/>
      <c r="F22" s="70"/>
      <c r="G22" s="71"/>
      <c r="H22" s="71"/>
      <c r="I22" s="71"/>
      <c r="J22" s="9"/>
      <c r="K22" s="5" t="str">
        <f t="shared" si="5"/>
        <v/>
      </c>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c r="BM22" s="72"/>
      <c r="BN22" s="72"/>
      <c r="BO22" s="72"/>
    </row>
    <row r="23" spans="1:67" s="38" customFormat="1" ht="30" customHeight="1" thickBot="1" x14ac:dyDescent="0.25">
      <c r="A23" s="6"/>
      <c r="B23" s="73" t="s">
        <v>54</v>
      </c>
      <c r="C23" s="97" t="s">
        <v>53</v>
      </c>
      <c r="D23" s="74"/>
      <c r="E23" s="75">
        <v>0.25</v>
      </c>
      <c r="F23" s="76">
        <f>F18+2</f>
        <v>45981</v>
      </c>
      <c r="G23" s="76">
        <f>F23+3</f>
        <v>45984</v>
      </c>
      <c r="H23" s="92" t="s">
        <v>47</v>
      </c>
      <c r="I23" s="98" t="s">
        <v>59</v>
      </c>
      <c r="J23" s="9"/>
      <c r="K23" s="5">
        <f t="shared" si="5"/>
        <v>4</v>
      </c>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c r="BM23" s="43"/>
      <c r="BN23" s="43"/>
      <c r="BO23" s="43"/>
    </row>
    <row r="24" spans="1:67" s="38" customFormat="1" ht="30" customHeight="1" thickBot="1" x14ac:dyDescent="0.25">
      <c r="A24" s="6"/>
      <c r="B24" s="73" t="s">
        <v>55</v>
      </c>
      <c r="C24" s="91" t="s">
        <v>32</v>
      </c>
      <c r="D24" s="74"/>
      <c r="E24" s="75">
        <v>0.25</v>
      </c>
      <c r="F24" s="76">
        <f>G23</f>
        <v>45984</v>
      </c>
      <c r="G24" s="76">
        <f>F24+4</f>
        <v>45988</v>
      </c>
      <c r="H24" s="92" t="s">
        <v>54</v>
      </c>
      <c r="I24" s="92" t="s">
        <v>61</v>
      </c>
      <c r="J24" s="9"/>
      <c r="K24" s="5">
        <f t="shared" si="5"/>
        <v>5</v>
      </c>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c r="BM24" s="43"/>
      <c r="BN24" s="43"/>
      <c r="BO24" s="43"/>
    </row>
    <row r="25" spans="1:67" s="38" customFormat="1" ht="30" customHeight="1" thickBot="1" x14ac:dyDescent="0.25">
      <c r="A25" s="6"/>
      <c r="B25" s="73" t="s">
        <v>56</v>
      </c>
      <c r="C25" s="91" t="s">
        <v>33</v>
      </c>
      <c r="D25" s="74"/>
      <c r="E25" s="75">
        <v>0.5</v>
      </c>
      <c r="F25" s="76">
        <f>G24+1</f>
        <v>45989</v>
      </c>
      <c r="G25" s="76">
        <f>F25+3</f>
        <v>45992</v>
      </c>
      <c r="H25" s="92" t="s">
        <v>58</v>
      </c>
      <c r="I25" s="92" t="s">
        <v>60</v>
      </c>
      <c r="J25" s="9"/>
      <c r="K25" s="5">
        <f t="shared" si="5"/>
        <v>4</v>
      </c>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c r="BM25" s="43"/>
      <c r="BN25" s="43"/>
      <c r="BO25" s="43"/>
    </row>
    <row r="26" spans="1:67" s="38" customFormat="1" ht="30" customHeight="1" thickBot="1" x14ac:dyDescent="0.25">
      <c r="A26" s="6"/>
      <c r="B26" s="77"/>
      <c r="C26" s="77"/>
      <c r="D26" s="78"/>
      <c r="E26" s="79"/>
      <c r="F26" s="80"/>
      <c r="G26" s="80"/>
      <c r="H26" s="80"/>
      <c r="I26" s="80"/>
      <c r="J26" s="9"/>
      <c r="K26" s="5" t="str">
        <f t="shared" si="5"/>
        <v/>
      </c>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row>
    <row r="27" spans="1:67" ht="30" customHeight="1" x14ac:dyDescent="0.2">
      <c r="J27" s="3"/>
    </row>
    <row r="28" spans="1:67" ht="30" customHeight="1" x14ac:dyDescent="0.25">
      <c r="D28" s="8"/>
      <c r="G28" s="7"/>
      <c r="H28" s="7"/>
      <c r="I28" s="7"/>
    </row>
    <row r="29" spans="1:67" ht="30" customHeight="1" x14ac:dyDescent="0.2">
      <c r="D29" s="4"/>
    </row>
  </sheetData>
  <mergeCells count="21">
    <mergeCell ref="BI4:BO4"/>
    <mergeCell ref="L4:R4"/>
    <mergeCell ref="S4:Y4"/>
    <mergeCell ref="Z4:AF4"/>
    <mergeCell ref="AG4:AM4"/>
    <mergeCell ref="AN4:AT4"/>
    <mergeCell ref="AU4:BA4"/>
    <mergeCell ref="BB4:BH4"/>
    <mergeCell ref="G5:G6"/>
    <mergeCell ref="T2:AC2"/>
    <mergeCell ref="T1:AC1"/>
    <mergeCell ref="L1:R1"/>
    <mergeCell ref="L2:R2"/>
    <mergeCell ref="H5:H6"/>
    <mergeCell ref="I5:I6"/>
    <mergeCell ref="A5:A6"/>
    <mergeCell ref="B5:B6"/>
    <mergeCell ref="D5:D6"/>
    <mergeCell ref="E5:E6"/>
    <mergeCell ref="F5:F6"/>
    <mergeCell ref="C5:C6"/>
  </mergeCells>
  <phoneticPr fontId="24" type="noConversion"/>
  <conditionalFormatting sqref="E7:E26">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L4:BO25">
    <cfRule type="expression" dxfId="8" priority="1">
      <formula>AND(TODAY()&gt;=L$5, TODAY()&lt;M$5)</formula>
    </cfRule>
  </conditionalFormatting>
  <conditionalFormatting sqref="L9:BO11">
    <cfRule type="expression" dxfId="7" priority="6">
      <formula>AND(task_start&lt;=L$5,ROUNDDOWN((task_end-task_start+1)*task_progress,0)+task_start-1&gt;=L$5)</formula>
    </cfRule>
    <cfRule type="expression" dxfId="6" priority="7" stopIfTrue="1">
      <formula>AND(task_end&gt;=L$5,task_start&lt;M$5)</formula>
    </cfRule>
  </conditionalFormatting>
  <conditionalFormatting sqref="L13:BO16">
    <cfRule type="expression" dxfId="5" priority="4">
      <formula>AND(task_start&lt;=L$5,ROUNDDOWN((task_end-task_start+1)*task_progress,0)+task_start-1&gt;=L$5)</formula>
    </cfRule>
    <cfRule type="expression" dxfId="4" priority="5" stopIfTrue="1">
      <formula>AND(task_end&gt;=L$5,task_start&lt;M$5)</formula>
    </cfRule>
  </conditionalFormatting>
  <conditionalFormatting sqref="L18:BO21">
    <cfRule type="expression" dxfId="3" priority="2">
      <formula>AND(task_start&lt;=L$5,ROUNDDOWN((task_end-task_start+1)*task_progress,0)+task_start-1&gt;=L$5)</formula>
    </cfRule>
    <cfRule type="expression" dxfId="2" priority="3" stopIfTrue="1">
      <formula>AND(task_end&gt;=L$5,task_start&lt;M$5)</formula>
    </cfRule>
  </conditionalFormatting>
  <conditionalFormatting sqref="L23:BO25">
    <cfRule type="expression" dxfId="1" priority="36">
      <formula>AND(task_start&lt;=L$5,ROUNDDOWN((task_end-task_start+1)*task_progress,0)+task_start-1&gt;=L$5)</formula>
    </cfRule>
    <cfRule type="expression" dxfId="0" priority="37" stopIfTrue="1">
      <formula>AND(task_end&gt;=L$5,task_start&lt;M$5)</formula>
    </cfRule>
  </conditionalFormatting>
  <dataValidations count="12">
    <dataValidation type="whole" operator="greaterThanOrEqual" allowBlank="1" showInputMessage="1" promptTitle="Display Week" prompt="Changing this number will scroll the Gantt Chart view." sqref="T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7" xr:uid="{956902D1-D3B5-416D-BB69-9362D193BC0A}"/>
    <dataValidation allowBlank="1" showInputMessage="1" showErrorMessage="1" prompt="Phase 4's sample block starts in cell B26." sqref="A22" xr:uid="{DE54E5DE-526D-4D71-8D03-E99B4AB2FEE5}"/>
  </dataValidations>
  <printOptions horizontalCentered="1"/>
  <pageMargins left="0.35" right="0.35" top="0.35" bottom="0.5" header="0.3" footer="0.3"/>
  <pageSetup scale="57" fitToHeight="0" orientation="landscape" r:id="rId1"/>
  <headerFooter differentFirst="1" scaleWithDoc="0">
    <oddFooter>Page &amp;P of &amp;N</oddFooter>
  </headerFooter>
  <ignoredErrors>
    <ignoredError sqref="G16 G19:G20 F20 G24" formula="1"/>
  </ignoredErrors>
  <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E7:E26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6</vt:i4>
      </vt:variant>
    </vt:vector>
  </HeadingPairs>
  <TitlesOfParts>
    <vt:vector size="7" baseType="lpstr">
      <vt:lpstr>Gantt</vt:lpstr>
      <vt:lpstr>Display_Week</vt:lpstr>
      <vt:lpstr>Project_Start</vt:lpstr>
      <vt:lpstr>Gantt!task_end</vt:lpstr>
      <vt:lpstr>Gantt!task_progress</vt:lpstr>
      <vt:lpstr>Gantt!task_start</vt:lpstr>
      <vt:lpstr>Gantt!Títulos_a_imprimir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Sanchez</dc:creator>
  <cp:keywords/>
  <dc:description/>
  <cp:lastModifiedBy>Jenny Muñoz</cp:lastModifiedBy>
  <cp:revision/>
  <dcterms:created xsi:type="dcterms:W3CDTF">2022-03-11T22:41:12Z</dcterms:created>
  <dcterms:modified xsi:type="dcterms:W3CDTF">2025-12-08T01:32:08Z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